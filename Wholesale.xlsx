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TLIn\Downloads\"/>
    </mc:Choice>
  </mc:AlternateContent>
  <xr:revisionPtr revIDLastSave="0" documentId="8_{9633E3B4-AFD3-404D-B892-6C7B41C84B97}" xr6:coauthVersionLast="47" xr6:coauthVersionMax="47" xr10:uidLastSave="{00000000-0000-0000-0000-000000000000}"/>
  <bookViews>
    <workbookView xWindow="31943" yWindow="1803" windowWidth="24267" windowHeight="13023" xr2:uid="{DE5487C9-9CCB-43C8-B6FF-DC52298CA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15" i="1" s="1"/>
  <c r="I16" i="1" s="1"/>
  <c r="D12" i="1"/>
  <c r="F6" i="1"/>
  <c r="F5" i="1"/>
  <c r="D9" i="1"/>
  <c r="D16" i="1" s="1"/>
  <c r="D19" i="1" s="1"/>
</calcChain>
</file>

<file path=xl/sharedStrings.xml><?xml version="1.0" encoding="utf-8"?>
<sst xmlns="http://schemas.openxmlformats.org/spreadsheetml/2006/main" count="9" uniqueCount="9">
  <si>
    <t>MAO</t>
  </si>
  <si>
    <t>Arv</t>
  </si>
  <si>
    <t>Wholesale Fee</t>
  </si>
  <si>
    <t>Buyers profit</t>
  </si>
  <si>
    <t>Rehab</t>
  </si>
  <si>
    <t>Financing Cost</t>
  </si>
  <si>
    <t>Holding</t>
  </si>
  <si>
    <t>Purchase Cost</t>
  </si>
  <si>
    <t>Selling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</si>
</sst>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32C9-5AF9-4A1E-98AF-AB8D1C2FB842}">
  <dimension ref="D4:L19"/>
  <sheetViews>
    <sheetView tabSelected="1" topLeftCell="B1" workbookViewId="0">
      <selection activeCell="L10" sqref="L9:L10"/>
    </sheetView>
  </sheetViews>
  <sheetFormatPr defaultRowHeight="15.05" x14ac:dyDescent="0.3"/>
  <cols>
    <col min="4" max="4" width="12.109375" style="1" bestFit="1" customWidth="1"/>
    <col min="5" max="5" width="7.6640625" customWidth="1"/>
    <col min="6" max="6" width="14.21875" customWidth="1"/>
    <col min="7" max="7" width="7.6640625" customWidth="1"/>
    <col min="8" max="8" width="13.88671875" customWidth="1"/>
    <col min="9" max="9" width="14.33203125" customWidth="1"/>
    <col min="11" max="11" width="8.5546875" customWidth="1"/>
    <col min="12" max="12" width="8.5546875" style="1" customWidth="1"/>
    <col min="13" max="13" width="8.5546875" customWidth="1"/>
  </cols>
  <sheetData>
    <row r="4" spans="4:12" x14ac:dyDescent="0.3">
      <c r="D4" s="1">
        <v>510000</v>
      </c>
      <c r="F4" s="1">
        <v>510000</v>
      </c>
      <c r="G4" s="1"/>
      <c r="H4" t="s">
        <v>1</v>
      </c>
      <c r="I4" s="1">
        <v>510000</v>
      </c>
    </row>
    <row r="5" spans="4:12" x14ac:dyDescent="0.3">
      <c r="D5" s="1">
        <v>65000</v>
      </c>
      <c r="F5" s="2">
        <f>F4-D5</f>
        <v>445000</v>
      </c>
      <c r="G5" s="2"/>
      <c r="H5" t="s">
        <v>2</v>
      </c>
      <c r="I5" s="1">
        <v>45000</v>
      </c>
    </row>
    <row r="6" spans="4:12" x14ac:dyDescent="0.3">
      <c r="D6" s="1">
        <v>25000</v>
      </c>
      <c r="F6" s="2">
        <f>F5*0.7</f>
        <v>311500</v>
      </c>
      <c r="G6" s="2"/>
      <c r="H6" t="s">
        <v>3</v>
      </c>
      <c r="I6" s="1">
        <v>50000</v>
      </c>
    </row>
    <row r="7" spans="4:12" x14ac:dyDescent="0.3">
      <c r="D7" s="1">
        <v>50000</v>
      </c>
      <c r="H7" t="s">
        <v>4</v>
      </c>
      <c r="I7" s="1">
        <v>65000</v>
      </c>
    </row>
    <row r="9" spans="4:12" x14ac:dyDescent="0.3">
      <c r="D9" s="1">
        <f>D4-D5-D6-D7</f>
        <v>370000</v>
      </c>
      <c r="H9" t="s">
        <v>5</v>
      </c>
      <c r="I9">
        <f>176000*(10%/12*6)</f>
        <v>8800</v>
      </c>
    </row>
    <row r="11" spans="4:12" x14ac:dyDescent="0.3">
      <c r="H11" t="s">
        <v>6</v>
      </c>
      <c r="I11">
        <v>500</v>
      </c>
      <c r="L11" s="3"/>
    </row>
    <row r="12" spans="4:12" x14ac:dyDescent="0.3">
      <c r="D12" s="1">
        <f>500*6</f>
        <v>3000</v>
      </c>
      <c r="H12" t="s">
        <v>7</v>
      </c>
      <c r="I12">
        <v>16660</v>
      </c>
    </row>
    <row r="13" spans="4:12" x14ac:dyDescent="0.3">
      <c r="D13" s="1">
        <v>6660</v>
      </c>
      <c r="H13" t="s">
        <v>8</v>
      </c>
      <c r="I13">
        <v>31000</v>
      </c>
    </row>
    <row r="14" spans="4:12" x14ac:dyDescent="0.3">
      <c r="D14" s="1">
        <v>31000</v>
      </c>
    </row>
    <row r="15" spans="4:12" x14ac:dyDescent="0.3">
      <c r="I15" s="2">
        <f>SUM(I5:I14)</f>
        <v>216960</v>
      </c>
    </row>
    <row r="16" spans="4:12" x14ac:dyDescent="0.3">
      <c r="D16" s="1">
        <f>D9-D12-D13-D14</f>
        <v>329340</v>
      </c>
      <c r="H16" t="s">
        <v>0</v>
      </c>
      <c r="I16" s="2">
        <f>I4-I15</f>
        <v>293040</v>
      </c>
    </row>
    <row r="18" spans="4:4" x14ac:dyDescent="0.3">
      <c r="D18" s="1">
        <v>321040</v>
      </c>
    </row>
    <row r="19" spans="4:4" x14ac:dyDescent="0.3">
      <c r="D19" s="1">
        <f>D16-D18</f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Borden</dc:creator>
  <cp:lastModifiedBy>Christopher Borden</cp:lastModifiedBy>
  <dcterms:created xsi:type="dcterms:W3CDTF">2026-04-02T18:34:48Z</dcterms:created>
  <dcterms:modified xsi:type="dcterms:W3CDTF">2026-04-02T20:08:34Z</dcterms:modified>
</cp:coreProperties>
</file>